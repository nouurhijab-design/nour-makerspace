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 Economics" sheetId="1" state="visible" r:id="rId3"/>
    <sheet name="Sortimen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<sst xmlns="http://schemas.openxmlformats.org/spreadsheetml/2006/main" count="61" uniqueCount="57">
  <si>
    <t xml:space="preserve">HIMA — Unit-Economics-Rechner</t>
  </si>
  <si>
    <t xml:space="preserve">Blau = anpassbar · Gelb = Schluesselannahme · Werte sind Schaetzungen</t>
  </si>
  <si>
    <t xml:space="preserve">1) ANNAHMEN (Hero: Premium Bambus)</t>
  </si>
  <si>
    <t xml:space="preserve">Verkaufspreis (brutto, €)</t>
  </si>
  <si>
    <t xml:space="preserve">USt-Satz</t>
  </si>
  <si>
    <t xml:space="preserve">Einkaufspreis Produkt (EK, €)</t>
  </si>
  <si>
    <t xml:space="preserve">Verpackung (Tag/Bag/Karte) (€)</t>
  </si>
  <si>
    <t xml:space="preserve">Zahlungsgebuehr (% v. Brutto)</t>
  </si>
  <si>
    <t xml:space="preserve">Versandkosten getragen (€)</t>
  </si>
  <si>
    <t xml:space="preserve">Retourenquote</t>
  </si>
  <si>
    <t xml:space="preserve">CAC (€)</t>
  </si>
  <si>
    <t xml:space="preserve">Bestellungen pro Kundin / Jahr</t>
  </si>
  <si>
    <t xml:space="preserve">Kundenlebensdauer (Jahre)</t>
  </si>
  <si>
    <t xml:space="preserve">2) DECKUNGSBEITRAG PRO BESTELLUNG</t>
  </si>
  <si>
    <t xml:space="preserve">Netto-Verkaufspreis (€)</t>
  </si>
  <si>
    <t xml:space="preserve">Zahlungsgebuehr (€)</t>
  </si>
  <si>
    <t xml:space="preserve">Variable Kosten gesamt (€)</t>
  </si>
  <si>
    <t xml:space="preserve">Deckungsbeitrag vor Marketing (€)</t>
  </si>
  <si>
    <t xml:space="preserve">DB bereinigt um Retouren (€)</t>
  </si>
  <si>
    <t xml:space="preserve">DB-Marge</t>
  </si>
  <si>
    <t xml:space="preserve">DB nach CAC – Erstbestellung (€)</t>
  </si>
  <si>
    <t xml:space="preserve">3) KUNDENWERT (LTV) &amp; CAC</t>
  </si>
  <si>
    <t xml:space="preserve">Bestellungen pro Kundin gesamt</t>
  </si>
  <si>
    <t xml:space="preserve">LTV (DB-basiert, €)</t>
  </si>
  <si>
    <t xml:space="preserve">LTV / CAC</t>
  </si>
  <si>
    <t xml:space="preserve">Max. tragbarer CAC (= DB) (€)</t>
  </si>
  <si>
    <t xml:space="preserve">Payback (Bestellungen bis CAC gedeckt)</t>
  </si>
  <si>
    <t xml:space="preserve">4) BEWERTUNG</t>
  </si>
  <si>
    <t xml:space="preserve">LTV/CAC &gt;= 3 ?</t>
  </si>
  <si>
    <t xml:space="preserve">DB-Marge &gt;= 55% ?</t>
  </si>
  <si>
    <t xml:space="preserve">5) SZENARIEN</t>
  </si>
  <si>
    <t xml:space="preserve">Lean</t>
  </si>
  <si>
    <t xml:space="preserve">Basis</t>
  </si>
  <si>
    <t xml:space="preserve">Premium</t>
  </si>
  <si>
    <t xml:space="preserve">Verkaufspreis (€)</t>
  </si>
  <si>
    <t xml:space="preserve">DB / Bestellung (€)</t>
  </si>
  <si>
    <t xml:space="preserve">LTV (€)</t>
  </si>
  <si>
    <t xml:space="preserve">Faustregeln: LTV/CAC&gt;=3 gesund; CAC &lt; halber DB; DB-Marge &gt;=55% vor Marketing.</t>
  </si>
  <si>
    <t xml:space="preserve">HIMA — Sortiment &amp; Margen (echte EK/VK)</t>
  </si>
  <si>
    <t xml:space="preserve">Blau = anpassbar. Fehlende EK/VK ergaenzen, DB rechnet automatisch.</t>
  </si>
  <si>
    <t xml:space="preserve">Produkt</t>
  </si>
  <si>
    <t xml:space="preserve">EK (€)</t>
  </si>
  <si>
    <t xml:space="preserve">akt. VK (€)</t>
  </si>
  <si>
    <t xml:space="preserve">empf. VK (€)</t>
  </si>
  <si>
    <t xml:space="preserve">Verpack. (€)</t>
  </si>
  <si>
    <t xml:space="preserve">Netto (€)</t>
  </si>
  <si>
    <t xml:space="preserve">DB/Stueck (€)</t>
  </si>
  <si>
    <t xml:space="preserve">Liquid Jersey (Everyday)</t>
  </si>
  <si>
    <t xml:space="preserve">Premium Jersey</t>
  </si>
  <si>
    <t xml:space="preserve">Bamboo Jersey</t>
  </si>
  <si>
    <t xml:space="preserve">Premium Jersey Satin</t>
  </si>
  <si>
    <t xml:space="preserve">Premium Bamboo (HERO)</t>
  </si>
  <si>
    <t xml:space="preserve">Medina Seide (Polyester)</t>
  </si>
  <si>
    <t xml:space="preserve">Chiffon</t>
  </si>
  <si>
    <t xml:space="preserve">Bonnet (Underscarf)</t>
  </si>
  <si>
    <t xml:space="preserve">Nadeln (Pins, Set)</t>
  </si>
  <si>
    <t xml:space="preserve">Hinweis: Fehlende EK eintragen -&gt; DB &amp; Marge erscheinen automatisch.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</si>
</sst>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 €&quot;"/>
    <numFmt numFmtId="166" formatCode="0.0%"/>
    <numFmt numFmtId="167" formatCode="#,##0.0"/>
    <numFmt numFmtId="168" formatCode="0.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1A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1A10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C1A1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</row>
    <row r="5" customFormat="false" ht="15" hidden="false" customHeight="false" outlineLevel="0" collapsed="false">
      <c r="A5" s="5" t="s">
        <v>3</v>
      </c>
      <c r="B5" s="6" t="n">
        <v>18.9</v>
      </c>
    </row>
    <row r="6" customFormat="false" ht="15" hidden="false" customHeight="false" outlineLevel="0" collapsed="false">
      <c r="A6" s="5" t="s">
        <v>4</v>
      </c>
      <c r="B6" s="7" t="n">
        <v>0.19</v>
      </c>
    </row>
    <row r="7" customFormat="false" ht="15" hidden="false" customHeight="false" outlineLevel="0" collapsed="false">
      <c r="A7" s="5" t="s">
        <v>5</v>
      </c>
      <c r="B7" s="6" t="n">
        <v>4</v>
      </c>
    </row>
    <row r="8" customFormat="false" ht="15" hidden="false" customHeight="false" outlineLevel="0" collapsed="false">
      <c r="A8" s="5" t="s">
        <v>6</v>
      </c>
      <c r="B8" s="8" t="n">
        <v>2.5</v>
      </c>
    </row>
    <row r="9" customFormat="false" ht="15" hidden="false" customHeight="false" outlineLevel="0" collapsed="false">
      <c r="A9" s="5" t="s">
        <v>7</v>
      </c>
      <c r="B9" s="7" t="n">
        <v>0.025</v>
      </c>
    </row>
    <row r="10" customFormat="false" ht="15" hidden="false" customHeight="false" outlineLevel="0" collapsed="false">
      <c r="A10" s="5" t="s">
        <v>8</v>
      </c>
      <c r="B10" s="8" t="n">
        <v>4</v>
      </c>
    </row>
    <row r="11" customFormat="false" ht="15" hidden="false" customHeight="false" outlineLevel="0" collapsed="false">
      <c r="A11" s="5" t="s">
        <v>9</v>
      </c>
      <c r="B11" s="7" t="n">
        <v>0.05</v>
      </c>
    </row>
    <row r="12" customFormat="false" ht="15" hidden="false" customHeight="false" outlineLevel="0" collapsed="false">
      <c r="A12" s="5" t="s">
        <v>10</v>
      </c>
      <c r="B12" s="6" t="n">
        <v>15</v>
      </c>
    </row>
    <row r="13" customFormat="false" ht="15" hidden="false" customHeight="false" outlineLevel="0" collapsed="false">
      <c r="A13" s="5" t="s">
        <v>11</v>
      </c>
      <c r="B13" s="9" t="n">
        <v>1.8</v>
      </c>
    </row>
    <row r="14" customFormat="false" ht="15" hidden="false" customHeight="false" outlineLevel="0" collapsed="false">
      <c r="A14" s="5" t="s">
        <v>12</v>
      </c>
      <c r="B14" s="9" t="n">
        <v>2</v>
      </c>
    </row>
    <row r="16" customFormat="false" ht="15" hidden="false" customHeight="false" outlineLevel="0" collapsed="false">
      <c r="A16" s="3" t="s">
        <v>13</v>
      </c>
      <c r="B16" s="4"/>
      <c r="C16" s="4"/>
      <c r="D16" s="4"/>
    </row>
    <row r="17" customFormat="false" ht="15" hidden="false" customHeight="false" outlineLevel="0" collapsed="false">
      <c r="A17" s="5" t="s">
        <v>14</v>
      </c>
      <c r="B17" s="10" t="n">
        <f aca="false">B5/(1+B6)</f>
        <v>15.8823529411765</v>
      </c>
    </row>
    <row r="18" customFormat="false" ht="15" hidden="false" customHeight="false" outlineLevel="0" collapsed="false">
      <c r="A18" s="5" t="s">
        <v>15</v>
      </c>
      <c r="B18" s="10" t="n">
        <f aca="false">B5*B9</f>
        <v>0.4725</v>
      </c>
    </row>
    <row r="19" customFormat="false" ht="15" hidden="false" customHeight="false" outlineLevel="0" collapsed="false">
      <c r="A19" s="5" t="s">
        <v>16</v>
      </c>
      <c r="B19" s="10" t="n">
        <f aca="false">B7+B8+B18+B10</f>
        <v>10.9725</v>
      </c>
    </row>
    <row r="20" customFormat="false" ht="15" hidden="false" customHeight="false" outlineLevel="0" collapsed="false">
      <c r="A20" s="5" t="s">
        <v>17</v>
      </c>
      <c r="B20" s="10" t="n">
        <f aca="false">B17-B19</f>
        <v>4.90985294117647</v>
      </c>
    </row>
    <row r="21" customFormat="false" ht="15" hidden="false" customHeight="false" outlineLevel="0" collapsed="false">
      <c r="A21" s="5" t="s">
        <v>18</v>
      </c>
      <c r="B21" s="10" t="n">
        <f aca="false">B20*(1-B11)</f>
        <v>4.66436029411765</v>
      </c>
    </row>
    <row r="22" customFormat="false" ht="15" hidden="false" customHeight="false" outlineLevel="0" collapsed="false">
      <c r="A22" s="5" t="s">
        <v>19</v>
      </c>
      <c r="B22" s="11" t="n">
        <f aca="false">B21/B17</f>
        <v>0.293681944444444</v>
      </c>
    </row>
    <row r="23" customFormat="false" ht="15" hidden="false" customHeight="false" outlineLevel="0" collapsed="false">
      <c r="A23" s="5" t="s">
        <v>20</v>
      </c>
      <c r="B23" s="10" t="n">
        <f aca="false">B21-B12</f>
        <v>-10.3356397058824</v>
      </c>
    </row>
    <row r="25" customFormat="false" ht="15" hidden="false" customHeight="false" outlineLevel="0" collapsed="false">
      <c r="A25" s="3" t="s">
        <v>21</v>
      </c>
      <c r="B25" s="4"/>
      <c r="C25" s="4"/>
      <c r="D25" s="4"/>
    </row>
    <row r="26" customFormat="false" ht="15" hidden="false" customHeight="false" outlineLevel="0" collapsed="false">
      <c r="A26" s="5" t="s">
        <v>22</v>
      </c>
      <c r="B26" s="12" t="n">
        <f aca="false">B13*B14</f>
        <v>3.6</v>
      </c>
    </row>
    <row r="27" customFormat="false" ht="15" hidden="false" customHeight="false" outlineLevel="0" collapsed="false">
      <c r="A27" s="5" t="s">
        <v>23</v>
      </c>
      <c r="B27" s="10" t="n">
        <f aca="false">B21*B26</f>
        <v>16.7916970588235</v>
      </c>
    </row>
    <row r="28" customFormat="false" ht="15" hidden="false" customHeight="false" outlineLevel="0" collapsed="false">
      <c r="A28" s="5" t="s">
        <v>24</v>
      </c>
      <c r="B28" s="13" t="n">
        <f aca="false">B27/B12</f>
        <v>1.11944647058823</v>
      </c>
    </row>
    <row r="29" customFormat="false" ht="15" hidden="false" customHeight="false" outlineLevel="0" collapsed="false">
      <c r="A29" s="5" t="s">
        <v>25</v>
      </c>
      <c r="B29" s="10" t="n">
        <f aca="false">B21</f>
        <v>4.66436029411765</v>
      </c>
    </row>
    <row r="30" customFormat="false" ht="15" hidden="false" customHeight="false" outlineLevel="0" collapsed="false">
      <c r="A30" s="5" t="s">
        <v>26</v>
      </c>
      <c r="B30" s="12" t="n">
        <f aca="false">B12/B21</f>
        <v>3.21587507271188</v>
      </c>
    </row>
    <row r="32" customFormat="false" ht="15" hidden="false" customHeight="false" outlineLevel="0" collapsed="false">
      <c r="A32" s="3" t="s">
        <v>27</v>
      </c>
      <c r="B32" s="4"/>
      <c r="C32" s="4"/>
      <c r="D32" s="4"/>
    </row>
    <row r="33" customFormat="false" ht="15" hidden="false" customHeight="false" outlineLevel="0" collapsed="false">
      <c r="A33" s="5" t="s">
        <v>28</v>
      </c>
      <c r="B33" s="5" t="str">
        <f aca="false">IF(B28&gt;=3,"gesund","pruefen")</f>
        <v>pruefen</v>
      </c>
    </row>
    <row r="34" customFormat="false" ht="15" hidden="false" customHeight="false" outlineLevel="0" collapsed="false">
      <c r="A34" s="5" t="s">
        <v>29</v>
      </c>
      <c r="B34" s="5" t="str">
        <f aca="false">IF(B22&gt;=0.55,"gut","pruefen")</f>
        <v>pruefen</v>
      </c>
    </row>
    <row r="37" customFormat="false" ht="15" hidden="false" customHeight="false" outlineLevel="0" collapsed="false">
      <c r="A37" s="3" t="s">
        <v>30</v>
      </c>
      <c r="B37" s="14" t="s">
        <v>31</v>
      </c>
      <c r="C37" s="14" t="s">
        <v>32</v>
      </c>
      <c r="D37" s="14" t="s">
        <v>33</v>
      </c>
    </row>
    <row r="38" customFormat="false" ht="15" hidden="false" customHeight="false" outlineLevel="0" collapsed="false">
      <c r="A38" s="5" t="s">
        <v>34</v>
      </c>
      <c r="B38" s="8" t="n">
        <v>14.9</v>
      </c>
      <c r="C38" s="8" t="n">
        <v>18.9</v>
      </c>
      <c r="D38" s="8" t="n">
        <v>24.9</v>
      </c>
    </row>
    <row r="39" customFormat="false" ht="15" hidden="false" customHeight="false" outlineLevel="0" collapsed="false">
      <c r="A39" s="5" t="s">
        <v>10</v>
      </c>
      <c r="B39" s="8" t="n">
        <v>10</v>
      </c>
      <c r="C39" s="8" t="n">
        <v>15</v>
      </c>
      <c r="D39" s="8" t="n">
        <v>22</v>
      </c>
    </row>
    <row r="40" customFormat="false" ht="15" hidden="false" customHeight="false" outlineLevel="0" collapsed="false">
      <c r="A40" s="5" t="s">
        <v>35</v>
      </c>
      <c r="B40" s="15" t="n">
        <f aca="false">(B38/(1+$B$6)-($B$7+$B$8+B38*$B$9+$B$10))*(1-$B$11)</f>
        <v>1.56608298319328</v>
      </c>
      <c r="C40" s="15" t="n">
        <f aca="false">(C38/(1+$B$6)-($B$7+$B$8+C38*$B$9+$B$10))*(1-$B$11)</f>
        <v>4.66436029411765</v>
      </c>
      <c r="D40" s="15" t="n">
        <f aca="false">(D38/(1+$B$6)-($B$7+$B$8+D38*$B$9+$B$10))*(1-$B$11)</f>
        <v>9.3117762605042</v>
      </c>
    </row>
    <row r="41" customFormat="false" ht="15" hidden="false" customHeight="false" outlineLevel="0" collapsed="false">
      <c r="A41" s="5" t="s">
        <v>19</v>
      </c>
      <c r="B41" s="16" t="n">
        <f aca="false">B40/(B38/(1+$B$6))</f>
        <v>0.125076426174497</v>
      </c>
      <c r="C41" s="16" t="n">
        <f aca="false">C40/(C38/(1+$B$6))</f>
        <v>0.293681944444444</v>
      </c>
      <c r="D41" s="16" t="n">
        <f aca="false">D40/(D38/(1+$B$6))</f>
        <v>0.445020632530121</v>
      </c>
    </row>
    <row r="42" customFormat="false" ht="15" hidden="false" customHeight="false" outlineLevel="0" collapsed="false">
      <c r="A42" s="5" t="s">
        <v>36</v>
      </c>
      <c r="B42" s="15" t="n">
        <f aca="false">B40*$B$26</f>
        <v>5.6378987394958</v>
      </c>
      <c r="C42" s="15" t="n">
        <f aca="false">C40*$B$26</f>
        <v>16.7916970588235</v>
      </c>
      <c r="D42" s="15" t="n">
        <f aca="false">D40*$B$26</f>
        <v>33.5223945378151</v>
      </c>
    </row>
    <row r="43" customFormat="false" ht="15" hidden="false" customHeight="false" outlineLevel="0" collapsed="false">
      <c r="A43" s="5" t="s">
        <v>24</v>
      </c>
      <c r="B43" s="17" t="n">
        <f aca="false">B42/B39</f>
        <v>0.56378987394958</v>
      </c>
      <c r="C43" s="17" t="n">
        <f aca="false">C42/C39</f>
        <v>1.11944647058823</v>
      </c>
      <c r="D43" s="17" t="n">
        <f aca="false">D42/D39</f>
        <v>1.52374520626432</v>
      </c>
    </row>
    <row r="45" customFormat="false" ht="15" hidden="false" customHeight="false" outlineLevel="0" collapsed="false">
      <c r="A45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3"/>
  </cols>
  <sheetData>
    <row r="1" customFormat="false" ht="19.7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15" hidden="false" customHeight="false" outlineLevel="0" collapsed="false">
      <c r="A4" s="14" t="s">
        <v>40</v>
      </c>
      <c r="B4" s="14" t="s">
        <v>41</v>
      </c>
      <c r="C4" s="14" t="s">
        <v>42</v>
      </c>
      <c r="D4" s="14" t="s">
        <v>43</v>
      </c>
      <c r="E4" s="14" t="s">
        <v>44</v>
      </c>
      <c r="F4" s="14" t="s">
        <v>45</v>
      </c>
      <c r="G4" s="14" t="s">
        <v>46</v>
      </c>
      <c r="H4" s="14" t="s">
        <v>19</v>
      </c>
    </row>
    <row r="5" customFormat="false" ht="15" hidden="false" customHeight="false" outlineLevel="0" collapsed="false">
      <c r="A5" s="5" t="s">
        <v>47</v>
      </c>
      <c r="B5" s="8" t="n">
        <v>3.7</v>
      </c>
      <c r="C5" s="8"/>
      <c r="D5" s="8" t="n">
        <v>14.9</v>
      </c>
      <c r="E5" s="8" t="n">
        <v>2.5</v>
      </c>
      <c r="F5" s="15" t="n">
        <f aca="false">D5/(1+0.19)</f>
        <v>12.5210084033613</v>
      </c>
      <c r="G5" s="15" t="n">
        <f aca="false">IF(ISNUMBER(B5),F5-B5-E5,"")</f>
        <v>6.32100840336135</v>
      </c>
      <c r="H5" s="16" t="n">
        <f aca="false">IF(ISNUMBER(B5),G5/F5,"")</f>
        <v>0.504832214765101</v>
      </c>
    </row>
    <row r="6" customFormat="false" ht="15" hidden="false" customHeight="false" outlineLevel="0" collapsed="false">
      <c r="A6" s="5" t="s">
        <v>48</v>
      </c>
      <c r="B6" s="8" t="n">
        <v>3.5</v>
      </c>
      <c r="C6" s="8"/>
      <c r="D6" s="8" t="n">
        <v>14.9</v>
      </c>
      <c r="E6" s="8" t="n">
        <v>2.5</v>
      </c>
      <c r="F6" s="15" t="n">
        <f aca="false">D6/(1+0.19)</f>
        <v>12.5210084033613</v>
      </c>
      <c r="G6" s="15" t="n">
        <f aca="false">IF(ISNUMBER(B6),F6-B6-E6,"")</f>
        <v>6.52100840336135</v>
      </c>
      <c r="H6" s="16" t="n">
        <f aca="false">IF(ISNUMBER(B6),G6/F6,"")</f>
        <v>0.520805369127517</v>
      </c>
    </row>
    <row r="7" customFormat="false" ht="15" hidden="false" customHeight="false" outlineLevel="0" collapsed="false">
      <c r="A7" s="5" t="s">
        <v>49</v>
      </c>
      <c r="B7" s="8" t="n">
        <v>3.2</v>
      </c>
      <c r="C7" s="8"/>
      <c r="D7" s="8" t="n">
        <v>16.9</v>
      </c>
      <c r="E7" s="8" t="n">
        <v>2.5</v>
      </c>
      <c r="F7" s="15" t="n">
        <f aca="false">D7/(1+0.19)</f>
        <v>14.2016806722689</v>
      </c>
      <c r="G7" s="15" t="n">
        <f aca="false">IF(ISNUMBER(B7),F7-B7-E7,"")</f>
        <v>8.50168067226891</v>
      </c>
      <c r="H7" s="16" t="n">
        <f aca="false">IF(ISNUMBER(B7),G7/F7,"")</f>
        <v>0.598639053254438</v>
      </c>
    </row>
    <row r="8" customFormat="false" ht="15" hidden="false" customHeight="false" outlineLevel="0" collapsed="false">
      <c r="A8" s="5" t="s">
        <v>50</v>
      </c>
      <c r="B8" s="8" t="n">
        <v>4.8</v>
      </c>
      <c r="C8" s="8"/>
      <c r="D8" s="8" t="n">
        <v>18.9</v>
      </c>
      <c r="E8" s="8" t="n">
        <v>2.5</v>
      </c>
      <c r="F8" s="15" t="n">
        <f aca="false">D8/(1+0.19)</f>
        <v>15.8823529411765</v>
      </c>
      <c r="G8" s="15" t="n">
        <f aca="false">IF(ISNUMBER(B8),F8-B8-E8,"")</f>
        <v>8.58235294117647</v>
      </c>
      <c r="H8" s="16" t="n">
        <f aca="false">IF(ISNUMBER(B8),G8/F8,"")</f>
        <v>0.54037037037037</v>
      </c>
    </row>
    <row r="9" customFormat="false" ht="15" hidden="false" customHeight="false" outlineLevel="0" collapsed="false">
      <c r="A9" s="5" t="s">
        <v>51</v>
      </c>
      <c r="B9" s="8" t="n">
        <v>4</v>
      </c>
      <c r="C9" s="8"/>
      <c r="D9" s="8" t="n">
        <v>18.9</v>
      </c>
      <c r="E9" s="8" t="n">
        <v>2.5</v>
      </c>
      <c r="F9" s="15" t="n">
        <f aca="false">D9/(1+0.19)</f>
        <v>15.8823529411765</v>
      </c>
      <c r="G9" s="15" t="n">
        <f aca="false">IF(ISNUMBER(B9),F9-B9-E9,"")</f>
        <v>9.38235294117647</v>
      </c>
      <c r="H9" s="16" t="n">
        <f aca="false">IF(ISNUMBER(B9),G9/F9,"")</f>
        <v>0.590740740740741</v>
      </c>
    </row>
    <row r="10" customFormat="false" ht="15" hidden="false" customHeight="false" outlineLevel="0" collapsed="false">
      <c r="A10" s="5" t="s">
        <v>52</v>
      </c>
      <c r="B10" s="8"/>
      <c r="C10" s="8" t="n">
        <v>10</v>
      </c>
      <c r="D10" s="8" t="n">
        <v>16.9</v>
      </c>
      <c r="E10" s="8" t="n">
        <v>2.5</v>
      </c>
      <c r="F10" s="15" t="n">
        <f aca="false">D10/(1+0.19)</f>
        <v>14.2016806722689</v>
      </c>
      <c r="G10" s="15" t="str">
        <f aca="false">IF(ISNUMBER(B10),F10-B10-E10,"")</f>
        <v/>
      </c>
      <c r="H10" s="16" t="str">
        <f aca="false">IF(ISNUMBER(B10),G10/F10,"")</f>
        <v/>
      </c>
    </row>
    <row r="11" customFormat="false" ht="15" hidden="false" customHeight="false" outlineLevel="0" collapsed="false">
      <c r="A11" s="5" t="s">
        <v>53</v>
      </c>
      <c r="B11" s="8"/>
      <c r="C11" s="8" t="n">
        <v>8</v>
      </c>
      <c r="D11" s="8" t="n">
        <v>12.9</v>
      </c>
      <c r="E11" s="8" t="n">
        <v>2.5</v>
      </c>
      <c r="F11" s="15" t="n">
        <f aca="false">D11/(1+0.19)</f>
        <v>10.8403361344538</v>
      </c>
      <c r="G11" s="15" t="str">
        <f aca="false">IF(ISNUMBER(B11),F11-B11-E11,"")</f>
        <v/>
      </c>
      <c r="H11" s="16" t="str">
        <f aca="false">IF(ISNUMBER(B11),G11/F11,"")</f>
        <v/>
      </c>
    </row>
    <row r="12" customFormat="false" ht="15" hidden="false" customHeight="false" outlineLevel="0" collapsed="false">
      <c r="A12" s="5" t="s">
        <v>54</v>
      </c>
      <c r="B12" s="8"/>
      <c r="C12" s="8" t="n">
        <v>4.5</v>
      </c>
      <c r="D12" s="8" t="n">
        <v>7.9</v>
      </c>
      <c r="E12" s="8" t="n">
        <v>0.5</v>
      </c>
      <c r="F12" s="15" t="n">
        <f aca="false">D12/(1+0.19)</f>
        <v>6.63865546218487</v>
      </c>
      <c r="G12" s="15" t="str">
        <f aca="false">IF(ISNUMBER(B12),F12-B12-E12,"")</f>
        <v/>
      </c>
      <c r="H12" s="16" t="str">
        <f aca="false">IF(ISNUMBER(B12),G12/F12,"")</f>
        <v/>
      </c>
    </row>
    <row r="13" customFormat="false" ht="15" hidden="false" customHeight="false" outlineLevel="0" collapsed="false">
      <c r="A13" s="5" t="s">
        <v>55</v>
      </c>
      <c r="B13" s="8"/>
      <c r="C13" s="8" t="n">
        <v>1.5</v>
      </c>
      <c r="D13" s="8" t="n">
        <v>3.9</v>
      </c>
      <c r="E13" s="8" t="n">
        <v>0.5</v>
      </c>
      <c r="F13" s="15" t="n">
        <f aca="false">D13/(1+0.19)</f>
        <v>3.27731092436975</v>
      </c>
      <c r="G13" s="15" t="str">
        <f aca="false">IF(ISNUMBER(B13),F13-B13-E13,"")</f>
        <v/>
      </c>
      <c r="H13" s="16" t="str">
        <f aca="false">IF(ISNUMBER(B13),G13/F13,"")</f>
        <v/>
      </c>
    </row>
    <row r="15" customFormat="false" ht="15" hidden="false" customHeight="false" outlineLevel="0" collapsed="false">
      <c r="A15" s="2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2026-06-25T15:57:25Z</dcterms:created>
  <dc:creator>openpyxl</dc:creator>
  <dc:description/>
  <dc:language>en-US</dc:language>
  <cp:lastModifiedBy/>
  <dcterms:modified xsi:type="dcterms:W3CDTF">2026-06-25T15:57:28Z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